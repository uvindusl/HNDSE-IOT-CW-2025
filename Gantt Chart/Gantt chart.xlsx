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mc:AlternateContent xmlns:mc="http://schemas.openxmlformats.org/markup-compatibility/2006">
    <mc:Choice Requires="x15">
      <x15ac:absPath xmlns:x15ac="http://schemas.microsoft.com/office/spreadsheetml/2010/11/ac" url="D:\HNDSE\IOT\CW\HNDSE-IOT-CW-2025\Gantt Chart\"/>
    </mc:Choice>
  </mc:AlternateContent>
  <xr:revisionPtr revIDLastSave="0" documentId="13_ncr:1_{51931655-8FF0-4C0D-BFB0-1D0583FBA8B1}" xr6:coauthVersionLast="47" xr6:coauthVersionMax="47" xr10:uidLastSave="{00000000-0000-0000-0000-000000000000}"/>
  <bookViews>
    <workbookView xWindow="105" yWindow="240" windowWidth="28800" windowHeight="15345" tabRatio="596"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1" l="1"/>
  <c r="F25" i="11" s="1"/>
  <c r="F24" i="11"/>
  <c r="E24" i="11"/>
  <c r="E21" i="11"/>
  <c r="F21" i="11" s="1"/>
  <c r="E22" i="11"/>
  <c r="F22" i="11" s="1"/>
  <c r="E15" i="11"/>
  <c r="F15" i="11" s="1"/>
  <c r="E17" i="11"/>
  <c r="F17" i="11" s="1"/>
  <c r="E16" i="11"/>
  <c r="F16" i="11"/>
  <c r="E9" i="11"/>
  <c r="F9" i="11" s="1"/>
  <c r="E13" i="11"/>
  <c r="F13" i="11" s="1"/>
  <c r="H13" i="11" s="1"/>
  <c r="F10" i="11"/>
  <c r="E11" i="11" s="1"/>
  <c r="F11" i="11" s="1"/>
  <c r="H7" i="11"/>
  <c r="E23" i="11" l="1"/>
  <c r="F23" i="11" s="1"/>
  <c r="I5" i="11"/>
  <c r="H20" i="11"/>
  <c r="H14" i="11"/>
  <c r="H8" i="11"/>
  <c r="H21" i="11" l="1"/>
  <c r="H22" i="11"/>
  <c r="H9" i="11"/>
  <c r="I6" i="11"/>
  <c r="H25" i="11" l="1"/>
  <c r="H10" i="11"/>
  <c r="H23" i="11"/>
  <c r="H15" i="11"/>
  <c r="E12" i="11"/>
  <c r="F12" i="11" s="1"/>
  <c r="J5" i="11"/>
  <c r="K5" i="11" s="1"/>
  <c r="L5" i="11" s="1"/>
  <c r="M5" i="11" s="1"/>
  <c r="N5" i="11" s="1"/>
  <c r="O5" i="11" s="1"/>
  <c r="P5" i="11" s="1"/>
  <c r="I4" i="11"/>
  <c r="H24" i="11" l="1"/>
  <c r="H16" i="11"/>
  <c r="E18" i="11"/>
  <c r="E19" i="11" s="1"/>
  <c r="H11" i="11"/>
  <c r="H12" i="11"/>
  <c r="P4" i="11"/>
  <c r="Q5" i="11"/>
  <c r="R5" i="11" s="1"/>
  <c r="S5" i="11" s="1"/>
  <c r="T5" i="11" s="1"/>
  <c r="U5" i="11" s="1"/>
  <c r="V5" i="11" s="1"/>
  <c r="W5" i="11" s="1"/>
  <c r="J6" i="11"/>
  <c r="F19" i="11" l="1"/>
  <c r="H19" i="11" s="1"/>
  <c r="F18" i="11"/>
  <c r="H18" i="11" s="1"/>
  <c r="H17"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<sst xmlns="http://schemas.openxmlformats.org/spreadsheetml/2006/main" count="55" uniqueCount="48">
  <si>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</si>
  <si>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</si>
  <si>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</si>
  <si>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</si>
  <si>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</si>
  <si>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</si>
  <si>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</si>
  <si>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</si>
  <si>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</si>
  <si>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</si>
  <si>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</si>
  <si>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</si>
  <si>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</si>
  <si>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</si>
  <si>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</si>
  <si>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</si>
  <si>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</si>
  <si>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</si>
  <si>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</si>
  <si>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Nuria Acevedo</t>
  </si>
  <si>
    <t>Olivia Wilson</t>
  </si>
  <si>
    <t>Initiation</t>
  </si>
  <si>
    <t>Planning and design</t>
  </si>
  <si>
    <t>Develop budget</t>
  </si>
  <si>
    <t>Define scope</t>
  </si>
  <si>
    <t>Execution</t>
  </si>
  <si>
    <t>Project start:</t>
  </si>
  <si>
    <t>Display week:</t>
  </si>
  <si>
    <t>ASSIGNED TO</t>
  </si>
  <si>
    <t>Smart Helmet</t>
  </si>
  <si>
    <t>IOT-CW-2025</t>
  </si>
  <si>
    <t>Creating the repository</t>
  </si>
  <si>
    <t>Uvindu Sankalpa</t>
  </si>
  <si>
    <t xml:space="preserve">Research </t>
  </si>
  <si>
    <t>Whole team</t>
  </si>
  <si>
    <t>Preparing the first proposal</t>
  </si>
  <si>
    <t>Dinidu Gangadara</t>
  </si>
  <si>
    <t>Harindu Vihan</t>
  </si>
  <si>
    <t>Creating the readme.md file for repo</t>
  </si>
  <si>
    <t>Drawing mind map</t>
  </si>
  <si>
    <t>Drawing Circuit digram</t>
  </si>
  <si>
    <t>Uvindu Sankalpa, Harindu Vihan</t>
  </si>
  <si>
    <t>Website Front-End</t>
  </si>
  <si>
    <t>Website Back-End</t>
  </si>
  <si>
    <t>Mobile App</t>
  </si>
  <si>
    <t>Testing Components</t>
  </si>
  <si>
    <t>Dinidu Gangadara, Harindu Vihan</t>
  </si>
  <si>
    <t xml:space="preserve">Building Circuit And Helmet Structuer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</si>
</sst>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00_);_(* \(#,##0.00\);_(* &quot;-&quot;??_);_(@_)"/>
    <numFmt numFmtId="165" formatCode="m/d/yy;@"/>
    <numFmt numFmtId="166" formatCode="ddd\,\ m/d/yyyy"/>
    <numFmt numFmtId="167" formatCode="mmm\ d\,\ yyyy"/>
    <numFmt numFmtId="168" formatCode="d"/>
  </numFmts>
  <fonts count="30"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0" tint="-4.9989318521683403E-2"/>
        <bgColor theme="4"/>
      </patternFill>
    </fill>
    <fill>
      <patternFill patternType="solid">
        <fgColor theme="0" tint="-0.14996795556505021"/>
        <bgColor indexed="64"/>
      </patternFill>
    </fill>
  </fills>
  <borders count="20">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99">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8" fontId="21" fillId="10" borderId="18" xfId="0" applyNumberFormat="1" applyFont="1" applyFill="1" applyBorder="1" applyAlignment="1">
      <alignment horizontal="center" vertical="center"/>
    </xf>
    <xf numFmtId="168" fontId="21" fillId="10" borderId="16" xfId="0" applyNumberFormat="1" applyFont="1" applyFill="1" applyBorder="1" applyAlignment="1">
      <alignment horizontal="center" vertical="center"/>
    </xf>
    <xf numFmtId="168" fontId="21" fillId="10" borderId="17" xfId="0" applyNumberFormat="1" applyFont="1" applyFill="1" applyBorder="1" applyAlignment="1">
      <alignment horizontal="center" vertical="center"/>
    </xf>
    <xf numFmtId="0" fontId="22" fillId="2" borderId="15" xfId="0" applyFont="1" applyFill="1" applyBorder="1" applyAlignment="1">
      <alignment horizontal="center" vertical="center" shrinkToFit="1"/>
    </xf>
    <xf numFmtId="0" fontId="22" fillId="2" borderId="12" xfId="0" applyFont="1" applyFill="1" applyBorder="1" applyAlignment="1">
      <alignment horizontal="center" vertical="center" shrinkToFit="1"/>
    </xf>
    <xf numFmtId="0" fontId="22" fillId="2" borderId="13"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165" fontId="19" fillId="6" borderId="0" xfId="0" applyNumberFormat="1" applyFont="1" applyFill="1" applyAlignment="1">
      <alignment horizontal="center" vertical="center"/>
    </xf>
    <xf numFmtId="165" fontId="1" fillId="6" borderId="0" xfId="0" applyNumberFormat="1" applyFont="1" applyFill="1" applyAlignment="1">
      <alignment horizontal="center" vertical="center"/>
    </xf>
    <xf numFmtId="0" fontId="4" fillId="0" borderId="10"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165" fontId="19" fillId="3" borderId="6" xfId="10" applyFont="1" applyFill="1" applyBorder="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165" fontId="19" fillId="3" borderId="7" xfId="10" applyFont="1" applyFill="1" applyBorder="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165" fontId="19" fillId="7" borderId="0" xfId="0" applyNumberFormat="1" applyFont="1" applyFill="1" applyAlignment="1">
      <alignment horizontal="center" vertical="center"/>
    </xf>
    <xf numFmtId="165" fontId="1" fillId="7" borderId="0" xfId="0" applyNumberFormat="1" applyFont="1" applyFill="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165" fontId="19" fillId="4" borderId="5" xfId="10" applyFont="1" applyFill="1" applyBorder="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165" fontId="19" fillId="8" borderId="0" xfId="0" applyNumberFormat="1" applyFont="1" applyFill="1" applyAlignment="1">
      <alignment horizontal="center" vertical="center"/>
    </xf>
    <xf numFmtId="165" fontId="1" fillId="8" borderId="0" xfId="0" applyNumberFormat="1" applyFont="1" applyFill="1" applyAlignment="1">
      <alignment horizontal="center" vertical="center"/>
    </xf>
    <xf numFmtId="0" fontId="4" fillId="0" borderId="9"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165" fontId="19" fillId="5" borderId="8" xfId="10" applyFont="1" applyFill="1" applyBorder="1">
      <alignment horizontal="center" vertical="center"/>
    </xf>
    <xf numFmtId="0" fontId="24" fillId="0" borderId="0" xfId="6" applyFont="1" applyAlignment="1">
      <alignment horizontal="left" vertical="center" indent="1"/>
    </xf>
    <xf numFmtId="0" fontId="24" fillId="0" borderId="0" xfId="7" applyFont="1" applyAlignment="1">
      <alignment horizontal="left" vertical="center" indent="1"/>
    </xf>
    <xf numFmtId="0" fontId="27"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4" fillId="0" borderId="0" xfId="0" applyFont="1" applyAlignment="1">
      <alignment horizontal="left" vertical="center" indent="1"/>
    </xf>
    <xf numFmtId="0" fontId="28" fillId="0" borderId="0" xfId="0" applyFont="1" applyAlignment="1">
      <alignment horizontal="left" vertical="top" wrapText="1" indent="1"/>
    </xf>
    <xf numFmtId="0" fontId="0" fillId="0" borderId="0" xfId="0" applyAlignment="1">
      <alignment horizontal="left" vertical="top" wrapText="1" indent="1"/>
    </xf>
    <xf numFmtId="0" fontId="29"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0" fontId="20" fillId="9" borderId="14" xfId="0" applyFont="1" applyFill="1" applyBorder="1" applyAlignment="1">
      <alignment horizontal="left" vertical="center" indent="1"/>
    </xf>
    <xf numFmtId="0" fontId="4" fillId="2" borderId="19" xfId="0" applyFont="1" applyFill="1" applyBorder="1" applyAlignment="1">
      <alignment horizontal="left" indent="1"/>
    </xf>
    <xf numFmtId="0" fontId="20" fillId="9" borderId="14" xfId="0" applyFont="1" applyFill="1" applyBorder="1" applyAlignment="1">
      <alignment vertical="center"/>
    </xf>
    <xf numFmtId="0" fontId="4" fillId="2" borderId="19" xfId="0" applyFont="1" applyFill="1" applyBorder="1"/>
    <xf numFmtId="0" fontId="20" fillId="9" borderId="14" xfId="0" applyFont="1" applyFill="1" applyBorder="1" applyAlignment="1">
      <alignment horizontal="center" vertical="center"/>
    </xf>
    <xf numFmtId="0" fontId="25" fillId="0" borderId="0" xfId="0" applyFont="1" applyAlignment="1">
      <alignment horizontal="left"/>
    </xf>
    <xf numFmtId="0" fontId="26" fillId="0" borderId="0" xfId="0" applyFont="1"/>
    <xf numFmtId="166" fontId="25" fillId="0" borderId="0" xfId="9" applyFont="1" applyBorder="1" applyAlignment="1">
      <alignment horizontal="left"/>
    </xf>
    <xf numFmtId="0" fontId="24" fillId="0" borderId="0" xfId="8" applyFont="1" applyAlignment="1">
      <alignment horizontal="left"/>
    </xf>
    <xf numFmtId="0" fontId="4" fillId="0" borderId="0" xfId="0" applyFont="1"/>
    <xf numFmtId="167" fontId="19" fillId="2" borderId="11" xfId="0" applyNumberFormat="1" applyFont="1" applyFill="1" applyBorder="1" applyAlignment="1">
      <alignment horizontal="center" vertical="center" wrapText="1"/>
    </xf>
    <xf numFmtId="167" fontId="19" fillId="2" borderId="17" xfId="0" applyNumberFormat="1" applyFont="1" applyFill="1" applyBorder="1" applyAlignment="1">
      <alignment horizontal="center" vertical="center" wrapText="1"/>
    </xf>
    <xf numFmtId="167" fontId="19" fillId="2" borderId="16" xfId="0" applyNumberFormat="1" applyFont="1" applyFill="1" applyBorder="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6">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5"/>
      <tableStyleElement type="headerRow" dxfId="14"/>
      <tableStyleElement type="totalRow" dxfId="13"/>
      <tableStyleElement type="firstColumn" dxfId="12"/>
      <tableStyleElement type="lastColumn" dxfId="11"/>
      <tableStyleElement type="firstRowStripe" dxfId="10"/>
      <tableStyleElement type="secondRowStripe" dxfId="9"/>
      <tableStyleElement type="firstColumnStripe" dxfId="8"/>
      <tableStyleElement type="secondColumn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28"/>
  <sheetViews>
    <sheetView showGridLines="0" tabSelected="1" showRuler="0" zoomScale="85" zoomScaleNormal="85" zoomScalePageLayoutView="70" workbookViewId="0">
      <selection activeCell="C32" sqref="C32"/>
    </sheetView>
  </sheetViews>
  <sheetFormatPr defaultColWidth="8.75" defaultRowHeight="30" customHeight="1" x14ac:dyDescent="0.2"/>
  <cols>
    <col min="1" max="1" width="2.75" style="12" customWidth="1"/>
    <col min="2" max="2" width="33.5" customWidth="1"/>
    <col min="3" max="3" width="27.75" customWidth="1"/>
    <col min="4" max="4" width="10.75" customWidth="1"/>
    <col min="5" max="5" width="10.75" style="2" customWidth="1"/>
    <col min="6" max="6" width="10.75" customWidth="1"/>
    <col min="7" max="7" width="2.75" customWidth="1"/>
    <col min="8" max="8" width="6" hidden="1" customWidth="1"/>
    <col min="9" max="65" width="2.75" customWidth="1"/>
  </cols>
  <sheetData>
    <row r="1" spans="1:64" ht="90" customHeight="1" x14ac:dyDescent="1.1000000000000001">
      <c r="A1" s="13"/>
      <c r="B1" s="77" t="s">
        <v>29</v>
      </c>
      <c r="C1" s="17"/>
      <c r="D1" s="18"/>
      <c r="E1" s="19"/>
      <c r="F1" s="20"/>
      <c r="H1" s="1"/>
      <c r="I1" s="94" t="s">
        <v>26</v>
      </c>
      <c r="J1" s="95"/>
      <c r="K1" s="95"/>
      <c r="L1" s="95"/>
      <c r="M1" s="95"/>
      <c r="N1" s="95"/>
      <c r="O1" s="95"/>
      <c r="P1" s="23"/>
      <c r="Q1" s="93">
        <v>45789</v>
      </c>
      <c r="R1" s="92"/>
      <c r="S1" s="92"/>
      <c r="T1" s="92"/>
      <c r="U1" s="92"/>
      <c r="V1" s="92"/>
      <c r="W1" s="92"/>
      <c r="X1" s="92"/>
      <c r="Y1" s="92"/>
      <c r="Z1" s="92"/>
    </row>
    <row r="2" spans="1:64" ht="30" customHeight="1" x14ac:dyDescent="0.5">
      <c r="B2" s="75" t="s">
        <v>30</v>
      </c>
      <c r="C2" s="76"/>
      <c r="D2" s="21"/>
      <c r="E2" s="22"/>
      <c r="F2" s="21"/>
      <c r="I2" s="94" t="s">
        <v>27</v>
      </c>
      <c r="J2" s="95"/>
      <c r="K2" s="95"/>
      <c r="L2" s="95"/>
      <c r="M2" s="95"/>
      <c r="N2" s="95"/>
      <c r="O2" s="95"/>
      <c r="P2" s="23"/>
      <c r="Q2" s="91">
        <v>1</v>
      </c>
      <c r="R2" s="92"/>
      <c r="S2" s="92"/>
      <c r="T2" s="92"/>
      <c r="U2" s="92"/>
      <c r="V2" s="92"/>
      <c r="W2" s="92"/>
      <c r="X2" s="92"/>
      <c r="Y2" s="92"/>
      <c r="Z2" s="92"/>
    </row>
    <row r="3" spans="1:64" s="25" customFormat="1" ht="30" customHeight="1" x14ac:dyDescent="0.25">
      <c r="A3" s="12"/>
      <c r="B3" s="24"/>
      <c r="D3" s="26"/>
      <c r="E3" s="27"/>
    </row>
    <row r="4" spans="1:64" s="25" customFormat="1" ht="30" customHeight="1" x14ac:dyDescent="0.2">
      <c r="A4" s="13"/>
      <c r="B4" s="28"/>
      <c r="E4" s="29"/>
      <c r="I4" s="98">
        <f>I5</f>
        <v>45789</v>
      </c>
      <c r="J4" s="96"/>
      <c r="K4" s="96"/>
      <c r="L4" s="96"/>
      <c r="M4" s="96"/>
      <c r="N4" s="96"/>
      <c r="O4" s="96"/>
      <c r="P4" s="96">
        <f>P5</f>
        <v>45796</v>
      </c>
      <c r="Q4" s="96"/>
      <c r="R4" s="96"/>
      <c r="S4" s="96"/>
      <c r="T4" s="96"/>
      <c r="U4" s="96"/>
      <c r="V4" s="96"/>
      <c r="W4" s="96">
        <f>W5</f>
        <v>45803</v>
      </c>
      <c r="X4" s="96"/>
      <c r="Y4" s="96"/>
      <c r="Z4" s="96"/>
      <c r="AA4" s="96"/>
      <c r="AB4" s="96"/>
      <c r="AC4" s="96"/>
      <c r="AD4" s="96">
        <f>AD5</f>
        <v>45810</v>
      </c>
      <c r="AE4" s="96"/>
      <c r="AF4" s="96"/>
      <c r="AG4" s="96"/>
      <c r="AH4" s="96"/>
      <c r="AI4" s="96"/>
      <c r="AJ4" s="96"/>
      <c r="AK4" s="96">
        <f>AK5</f>
        <v>45817</v>
      </c>
      <c r="AL4" s="96"/>
      <c r="AM4" s="96"/>
      <c r="AN4" s="96"/>
      <c r="AO4" s="96"/>
      <c r="AP4" s="96"/>
      <c r="AQ4" s="96"/>
      <c r="AR4" s="96">
        <f>AR5</f>
        <v>45824</v>
      </c>
      <c r="AS4" s="96"/>
      <c r="AT4" s="96"/>
      <c r="AU4" s="96"/>
      <c r="AV4" s="96"/>
      <c r="AW4" s="96"/>
      <c r="AX4" s="96"/>
      <c r="AY4" s="96">
        <f>AY5</f>
        <v>45831</v>
      </c>
      <c r="AZ4" s="96"/>
      <c r="BA4" s="96"/>
      <c r="BB4" s="96"/>
      <c r="BC4" s="96"/>
      <c r="BD4" s="96"/>
      <c r="BE4" s="96"/>
      <c r="BF4" s="96">
        <f>BF5</f>
        <v>45838</v>
      </c>
      <c r="BG4" s="96"/>
      <c r="BH4" s="96"/>
      <c r="BI4" s="96"/>
      <c r="BJ4" s="96"/>
      <c r="BK4" s="96"/>
      <c r="BL4" s="97"/>
    </row>
    <row r="5" spans="1:64" s="25" customFormat="1" ht="15" customHeight="1" x14ac:dyDescent="0.2">
      <c r="A5" s="85"/>
      <c r="B5" s="86" t="s">
        <v>4</v>
      </c>
      <c r="C5" s="88" t="s">
        <v>28</v>
      </c>
      <c r="D5" s="90" t="s">
        <v>0</v>
      </c>
      <c r="E5" s="90" t="s">
        <v>2</v>
      </c>
      <c r="F5" s="90" t="s">
        <v>3</v>
      </c>
      <c r="I5" s="30">
        <f>Project_Start-WEEKDAY(Project_Start,1)+2+7*(Display_Week-1)</f>
        <v>45789</v>
      </c>
      <c r="J5" s="30">
        <f>I5+1</f>
        <v>45790</v>
      </c>
      <c r="K5" s="30">
        <f t="shared" ref="K5:AX5" si="0">J5+1</f>
        <v>45791</v>
      </c>
      <c r="L5" s="30">
        <f t="shared" si="0"/>
        <v>45792</v>
      </c>
      <c r="M5" s="30">
        <f t="shared" si="0"/>
        <v>45793</v>
      </c>
      <c r="N5" s="30">
        <f t="shared" si="0"/>
        <v>45794</v>
      </c>
      <c r="O5" s="31">
        <f t="shared" si="0"/>
        <v>45795</v>
      </c>
      <c r="P5" s="32">
        <f>O5+1</f>
        <v>45796</v>
      </c>
      <c r="Q5" s="30">
        <f>P5+1</f>
        <v>45797</v>
      </c>
      <c r="R5" s="30">
        <f t="shared" si="0"/>
        <v>45798</v>
      </c>
      <c r="S5" s="30">
        <f t="shared" si="0"/>
        <v>45799</v>
      </c>
      <c r="T5" s="30">
        <f t="shared" si="0"/>
        <v>45800</v>
      </c>
      <c r="U5" s="30">
        <f t="shared" si="0"/>
        <v>45801</v>
      </c>
      <c r="V5" s="31">
        <f t="shared" si="0"/>
        <v>45802</v>
      </c>
      <c r="W5" s="32">
        <f>V5+1</f>
        <v>45803</v>
      </c>
      <c r="X5" s="30">
        <f>W5+1</f>
        <v>45804</v>
      </c>
      <c r="Y5" s="30">
        <f t="shared" si="0"/>
        <v>45805</v>
      </c>
      <c r="Z5" s="30">
        <f t="shared" si="0"/>
        <v>45806</v>
      </c>
      <c r="AA5" s="30">
        <f t="shared" si="0"/>
        <v>45807</v>
      </c>
      <c r="AB5" s="30">
        <f t="shared" si="0"/>
        <v>45808</v>
      </c>
      <c r="AC5" s="31">
        <f t="shared" si="0"/>
        <v>45809</v>
      </c>
      <c r="AD5" s="32">
        <f>AC5+1</f>
        <v>45810</v>
      </c>
      <c r="AE5" s="30">
        <f>AD5+1</f>
        <v>45811</v>
      </c>
      <c r="AF5" s="30">
        <f t="shared" si="0"/>
        <v>45812</v>
      </c>
      <c r="AG5" s="30">
        <f t="shared" si="0"/>
        <v>45813</v>
      </c>
      <c r="AH5" s="30">
        <f t="shared" si="0"/>
        <v>45814</v>
      </c>
      <c r="AI5" s="30">
        <f t="shared" si="0"/>
        <v>45815</v>
      </c>
      <c r="AJ5" s="31">
        <f t="shared" si="0"/>
        <v>45816</v>
      </c>
      <c r="AK5" s="32">
        <f>AJ5+1</f>
        <v>45817</v>
      </c>
      <c r="AL5" s="30">
        <f>AK5+1</f>
        <v>45818</v>
      </c>
      <c r="AM5" s="30">
        <f t="shared" si="0"/>
        <v>45819</v>
      </c>
      <c r="AN5" s="30">
        <f t="shared" si="0"/>
        <v>45820</v>
      </c>
      <c r="AO5" s="30">
        <f t="shared" si="0"/>
        <v>45821</v>
      </c>
      <c r="AP5" s="30">
        <f t="shared" si="0"/>
        <v>45822</v>
      </c>
      <c r="AQ5" s="31">
        <f t="shared" si="0"/>
        <v>45823</v>
      </c>
      <c r="AR5" s="32">
        <f>AQ5+1</f>
        <v>45824</v>
      </c>
      <c r="AS5" s="30">
        <f>AR5+1</f>
        <v>45825</v>
      </c>
      <c r="AT5" s="30">
        <f t="shared" si="0"/>
        <v>45826</v>
      </c>
      <c r="AU5" s="30">
        <f t="shared" si="0"/>
        <v>45827</v>
      </c>
      <c r="AV5" s="30">
        <f t="shared" si="0"/>
        <v>45828</v>
      </c>
      <c r="AW5" s="30">
        <f t="shared" si="0"/>
        <v>45829</v>
      </c>
      <c r="AX5" s="31">
        <f t="shared" si="0"/>
        <v>45830</v>
      </c>
      <c r="AY5" s="32">
        <f>AX5+1</f>
        <v>45831</v>
      </c>
      <c r="AZ5" s="30">
        <f>AY5+1</f>
        <v>45832</v>
      </c>
      <c r="BA5" s="30">
        <f t="shared" ref="BA5:BE5" si="1">AZ5+1</f>
        <v>45833</v>
      </c>
      <c r="BB5" s="30">
        <f t="shared" si="1"/>
        <v>45834</v>
      </c>
      <c r="BC5" s="30">
        <f t="shared" si="1"/>
        <v>45835</v>
      </c>
      <c r="BD5" s="30">
        <f t="shared" si="1"/>
        <v>45836</v>
      </c>
      <c r="BE5" s="31">
        <f t="shared" si="1"/>
        <v>45837</v>
      </c>
      <c r="BF5" s="32">
        <f>BE5+1</f>
        <v>45838</v>
      </c>
      <c r="BG5" s="30">
        <f>BF5+1</f>
        <v>45839</v>
      </c>
      <c r="BH5" s="30">
        <f t="shared" ref="BH5:BL5" si="2">BG5+1</f>
        <v>45840</v>
      </c>
      <c r="BI5" s="30">
        <f t="shared" si="2"/>
        <v>45841</v>
      </c>
      <c r="BJ5" s="30">
        <f t="shared" si="2"/>
        <v>45842</v>
      </c>
      <c r="BK5" s="30">
        <f t="shared" si="2"/>
        <v>45843</v>
      </c>
      <c r="BL5" s="30">
        <f t="shared" si="2"/>
        <v>45844</v>
      </c>
    </row>
    <row r="6" spans="1:64" s="25" customFormat="1" ht="15" customHeight="1" thickBot="1" x14ac:dyDescent="0.25">
      <c r="A6" s="85"/>
      <c r="B6" s="87"/>
      <c r="C6" s="89"/>
      <c r="D6" s="89"/>
      <c r="E6" s="89"/>
      <c r="F6" s="89"/>
      <c r="I6" s="33" t="str">
        <f t="shared" ref="I6:AN6" si="3">LEFT(TEXT(I5,"ddd"),1)</f>
        <v>M</v>
      </c>
      <c r="J6" s="34" t="str">
        <f t="shared" si="3"/>
        <v>T</v>
      </c>
      <c r="K6" s="34" t="str">
        <f t="shared" si="3"/>
        <v>W</v>
      </c>
      <c r="L6" s="34" t="str">
        <f t="shared" si="3"/>
        <v>T</v>
      </c>
      <c r="M6" s="34" t="str">
        <f t="shared" si="3"/>
        <v>F</v>
      </c>
      <c r="N6" s="34" t="str">
        <f t="shared" si="3"/>
        <v>S</v>
      </c>
      <c r="O6" s="34" t="str">
        <f t="shared" si="3"/>
        <v>S</v>
      </c>
      <c r="P6" s="34" t="str">
        <f t="shared" si="3"/>
        <v>M</v>
      </c>
      <c r="Q6" s="34" t="str">
        <f t="shared" si="3"/>
        <v>T</v>
      </c>
      <c r="R6" s="34" t="str">
        <f t="shared" si="3"/>
        <v>W</v>
      </c>
      <c r="S6" s="34" t="str">
        <f t="shared" si="3"/>
        <v>T</v>
      </c>
      <c r="T6" s="34" t="str">
        <f t="shared" si="3"/>
        <v>F</v>
      </c>
      <c r="U6" s="34" t="str">
        <f t="shared" si="3"/>
        <v>S</v>
      </c>
      <c r="V6" s="34" t="str">
        <f t="shared" si="3"/>
        <v>S</v>
      </c>
      <c r="W6" s="34" t="str">
        <f t="shared" si="3"/>
        <v>M</v>
      </c>
      <c r="X6" s="34" t="str">
        <f t="shared" si="3"/>
        <v>T</v>
      </c>
      <c r="Y6" s="34" t="str">
        <f t="shared" si="3"/>
        <v>W</v>
      </c>
      <c r="Z6" s="34" t="str">
        <f t="shared" si="3"/>
        <v>T</v>
      </c>
      <c r="AA6" s="34" t="str">
        <f t="shared" si="3"/>
        <v>F</v>
      </c>
      <c r="AB6" s="34" t="str">
        <f t="shared" si="3"/>
        <v>S</v>
      </c>
      <c r="AC6" s="34" t="str">
        <f t="shared" si="3"/>
        <v>S</v>
      </c>
      <c r="AD6" s="34" t="str">
        <f t="shared" si="3"/>
        <v>M</v>
      </c>
      <c r="AE6" s="34" t="str">
        <f t="shared" si="3"/>
        <v>T</v>
      </c>
      <c r="AF6" s="34" t="str">
        <f t="shared" si="3"/>
        <v>W</v>
      </c>
      <c r="AG6" s="34" t="str">
        <f t="shared" si="3"/>
        <v>T</v>
      </c>
      <c r="AH6" s="34" t="str">
        <f t="shared" si="3"/>
        <v>F</v>
      </c>
      <c r="AI6" s="34" t="str">
        <f t="shared" si="3"/>
        <v>S</v>
      </c>
      <c r="AJ6" s="34" t="str">
        <f t="shared" si="3"/>
        <v>S</v>
      </c>
      <c r="AK6" s="34" t="str">
        <f t="shared" si="3"/>
        <v>M</v>
      </c>
      <c r="AL6" s="34" t="str">
        <f t="shared" si="3"/>
        <v>T</v>
      </c>
      <c r="AM6" s="34" t="str">
        <f t="shared" si="3"/>
        <v>W</v>
      </c>
      <c r="AN6" s="34" t="str">
        <f t="shared" si="3"/>
        <v>T</v>
      </c>
      <c r="AO6" s="34" t="str">
        <f t="shared" ref="AO6:BL6" si="4">LEFT(TEXT(AO5,"ddd"),1)</f>
        <v>F</v>
      </c>
      <c r="AP6" s="34" t="str">
        <f t="shared" si="4"/>
        <v>S</v>
      </c>
      <c r="AQ6" s="34" t="str">
        <f t="shared" si="4"/>
        <v>S</v>
      </c>
      <c r="AR6" s="34" t="str">
        <f t="shared" si="4"/>
        <v>M</v>
      </c>
      <c r="AS6" s="34" t="str">
        <f t="shared" si="4"/>
        <v>T</v>
      </c>
      <c r="AT6" s="34" t="str">
        <f t="shared" si="4"/>
        <v>W</v>
      </c>
      <c r="AU6" s="34" t="str">
        <f t="shared" si="4"/>
        <v>T</v>
      </c>
      <c r="AV6" s="34" t="str">
        <f t="shared" si="4"/>
        <v>F</v>
      </c>
      <c r="AW6" s="34" t="str">
        <f t="shared" si="4"/>
        <v>S</v>
      </c>
      <c r="AX6" s="34" t="str">
        <f t="shared" si="4"/>
        <v>S</v>
      </c>
      <c r="AY6" s="34" t="str">
        <f t="shared" si="4"/>
        <v>M</v>
      </c>
      <c r="AZ6" s="34" t="str">
        <f t="shared" si="4"/>
        <v>T</v>
      </c>
      <c r="BA6" s="34" t="str">
        <f t="shared" si="4"/>
        <v>W</v>
      </c>
      <c r="BB6" s="34" t="str">
        <f t="shared" si="4"/>
        <v>T</v>
      </c>
      <c r="BC6" s="34" t="str">
        <f t="shared" si="4"/>
        <v>F</v>
      </c>
      <c r="BD6" s="34" t="str">
        <f t="shared" si="4"/>
        <v>S</v>
      </c>
      <c r="BE6" s="34" t="str">
        <f t="shared" si="4"/>
        <v>S</v>
      </c>
      <c r="BF6" s="34" t="str">
        <f t="shared" si="4"/>
        <v>M</v>
      </c>
      <c r="BG6" s="34" t="str">
        <f t="shared" si="4"/>
        <v>T</v>
      </c>
      <c r="BH6" s="34" t="str">
        <f t="shared" si="4"/>
        <v>W</v>
      </c>
      <c r="BI6" s="34" t="str">
        <f t="shared" si="4"/>
        <v>T</v>
      </c>
      <c r="BJ6" s="34" t="str">
        <f t="shared" si="4"/>
        <v>F</v>
      </c>
      <c r="BK6" s="34" t="str">
        <f t="shared" si="4"/>
        <v>S</v>
      </c>
      <c r="BL6" s="35" t="str">
        <f t="shared" si="4"/>
        <v>S</v>
      </c>
    </row>
    <row r="7" spans="1:64" s="25" customFormat="1" ht="30" hidden="1" customHeight="1" thickBot="1" x14ac:dyDescent="0.25">
      <c r="A7" s="12" t="s">
        <v>18</v>
      </c>
      <c r="B7" s="36"/>
      <c r="C7" s="37"/>
      <c r="D7" s="36"/>
      <c r="E7" s="36"/>
      <c r="F7" s="36"/>
      <c r="H7" s="25" t="str">
        <f>IF(OR(ISBLANK(task_start),ISBLANK(task_end)),"",task_end-task_start+1)</f>
        <v/>
      </c>
      <c r="I7" s="38"/>
      <c r="J7" s="38"/>
      <c r="K7" s="38"/>
      <c r="L7" s="38"/>
      <c r="M7" s="38"/>
      <c r="N7" s="38"/>
      <c r="O7" s="38"/>
      <c r="P7" s="38"/>
      <c r="Q7" s="38"/>
      <c r="R7" s="38"/>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8"/>
      <c r="AU7" s="38"/>
      <c r="AV7" s="38"/>
      <c r="AW7" s="38"/>
      <c r="AX7" s="38"/>
      <c r="AY7" s="38"/>
      <c r="AZ7" s="38"/>
      <c r="BA7" s="38"/>
      <c r="BB7" s="38"/>
      <c r="BC7" s="38"/>
      <c r="BD7" s="38"/>
      <c r="BE7" s="38"/>
      <c r="BF7" s="38"/>
      <c r="BG7" s="38"/>
      <c r="BH7" s="38"/>
      <c r="BI7" s="38"/>
      <c r="BJ7" s="38"/>
      <c r="BK7" s="38"/>
      <c r="BL7" s="38"/>
    </row>
    <row r="8" spans="1:64" s="45" customFormat="1" ht="30" customHeight="1" thickBot="1" x14ac:dyDescent="0.25">
      <c r="A8" s="13"/>
      <c r="B8" s="39" t="s">
        <v>21</v>
      </c>
      <c r="C8" s="40"/>
      <c r="D8" s="41"/>
      <c r="E8" s="42"/>
      <c r="F8" s="43"/>
      <c r="G8" s="16"/>
      <c r="H8" s="5" t="str">
        <f t="shared" ref="H8:H25" si="5">IF(OR(ISBLANK(task_start),ISBLANK(task_end)),"",task_end-task_start+1)</f>
        <v/>
      </c>
      <c r="I8" s="44"/>
      <c r="J8" s="44"/>
      <c r="K8" s="44"/>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c r="AS8" s="44"/>
      <c r="AT8" s="44"/>
      <c r="AU8" s="44"/>
      <c r="AV8" s="44"/>
      <c r="AW8" s="44"/>
      <c r="AX8" s="44"/>
      <c r="AY8" s="44"/>
      <c r="AZ8" s="44"/>
      <c r="BA8" s="44"/>
      <c r="BB8" s="44"/>
      <c r="BC8" s="44"/>
      <c r="BD8" s="44"/>
      <c r="BE8" s="44"/>
      <c r="BF8" s="44"/>
      <c r="BG8" s="44"/>
      <c r="BH8" s="44"/>
      <c r="BI8" s="44"/>
      <c r="BJ8" s="44"/>
      <c r="BK8" s="44"/>
      <c r="BL8" s="44"/>
    </row>
    <row r="9" spans="1:64" s="45" customFormat="1" ht="30" customHeight="1" thickBot="1" x14ac:dyDescent="0.25">
      <c r="A9" s="13"/>
      <c r="B9" s="46" t="s">
        <v>31</v>
      </c>
      <c r="C9" s="47" t="s">
        <v>32</v>
      </c>
      <c r="D9" s="48">
        <v>1</v>
      </c>
      <c r="E9" s="49">
        <f>Project_Start</f>
        <v>45789</v>
      </c>
      <c r="F9" s="49">
        <f>E9</f>
        <v>45789</v>
      </c>
      <c r="G9" s="16"/>
      <c r="H9" s="5">
        <f t="shared" si="5"/>
        <v>1</v>
      </c>
      <c r="I9" s="50"/>
      <c r="J9" s="50"/>
      <c r="K9" s="50"/>
      <c r="L9" s="50"/>
      <c r="M9" s="50"/>
      <c r="N9" s="50"/>
      <c r="O9" s="50"/>
      <c r="P9" s="50"/>
      <c r="Q9" s="50"/>
      <c r="R9" s="50"/>
      <c r="S9" s="50"/>
      <c r="T9" s="50"/>
      <c r="U9" s="50"/>
      <c r="V9" s="50"/>
      <c r="W9" s="50"/>
      <c r="X9" s="50"/>
      <c r="Y9" s="50"/>
      <c r="Z9" s="50"/>
      <c r="AA9" s="50"/>
      <c r="AB9" s="50"/>
      <c r="AC9" s="50"/>
      <c r="AD9" s="50"/>
      <c r="AE9" s="50"/>
      <c r="AF9" s="50"/>
      <c r="AG9" s="50"/>
      <c r="AH9" s="50"/>
      <c r="AI9" s="50"/>
      <c r="AJ9" s="50"/>
      <c r="AK9" s="50"/>
      <c r="AL9" s="50"/>
      <c r="AM9" s="50"/>
      <c r="AN9" s="50"/>
      <c r="AO9" s="50"/>
      <c r="AP9" s="50"/>
      <c r="AQ9" s="50"/>
      <c r="AR9" s="50"/>
      <c r="AS9" s="50"/>
      <c r="AT9" s="50"/>
      <c r="AU9" s="50"/>
      <c r="AV9" s="50"/>
      <c r="AW9" s="50"/>
      <c r="AX9" s="50"/>
      <c r="AY9" s="50"/>
      <c r="AZ9" s="50"/>
      <c r="BA9" s="50"/>
      <c r="BB9" s="50"/>
      <c r="BC9" s="50"/>
      <c r="BD9" s="50"/>
      <c r="BE9" s="50"/>
      <c r="BF9" s="50"/>
      <c r="BG9" s="50"/>
      <c r="BH9" s="50"/>
      <c r="BI9" s="50"/>
      <c r="BJ9" s="50"/>
      <c r="BK9" s="50"/>
      <c r="BL9" s="50"/>
    </row>
    <row r="10" spans="1:64" s="45" customFormat="1" ht="30" customHeight="1" thickBot="1" x14ac:dyDescent="0.25">
      <c r="A10" s="13"/>
      <c r="B10" s="51" t="s">
        <v>33</v>
      </c>
      <c r="C10" s="52" t="s">
        <v>34</v>
      </c>
      <c r="D10" s="53">
        <v>1</v>
      </c>
      <c r="E10" s="54">
        <v>45794</v>
      </c>
      <c r="F10" s="54">
        <f>E10+7</f>
        <v>45801</v>
      </c>
      <c r="G10" s="16"/>
      <c r="H10" s="5">
        <f t="shared" si="5"/>
        <v>8</v>
      </c>
      <c r="I10" s="50"/>
      <c r="J10" s="50"/>
      <c r="K10" s="50"/>
      <c r="L10" s="50"/>
      <c r="M10" s="50"/>
      <c r="N10" s="50"/>
      <c r="O10" s="50"/>
      <c r="P10" s="50"/>
      <c r="Q10" s="50"/>
      <c r="R10" s="50"/>
      <c r="S10" s="50"/>
      <c r="T10" s="50"/>
      <c r="U10" s="55"/>
      <c r="V10" s="55"/>
      <c r="W10" s="50"/>
      <c r="X10" s="50"/>
      <c r="Y10" s="50"/>
      <c r="Z10" s="50"/>
      <c r="AA10" s="50"/>
      <c r="AB10" s="50"/>
      <c r="AC10" s="50"/>
      <c r="AD10" s="50"/>
      <c r="AE10" s="50"/>
      <c r="AF10" s="50"/>
      <c r="AG10" s="50"/>
      <c r="AH10" s="50"/>
      <c r="AI10" s="50"/>
      <c r="AJ10" s="50"/>
      <c r="AK10" s="50"/>
      <c r="AL10" s="50"/>
      <c r="AM10" s="50"/>
      <c r="AN10" s="50"/>
      <c r="AO10" s="50"/>
      <c r="AP10" s="50"/>
      <c r="AQ10" s="50"/>
      <c r="AR10" s="50"/>
      <c r="AS10" s="50"/>
      <c r="AT10" s="50"/>
      <c r="AU10" s="50"/>
      <c r="AV10" s="50"/>
      <c r="AW10" s="50"/>
      <c r="AX10" s="50"/>
      <c r="AY10" s="50"/>
      <c r="AZ10" s="50"/>
      <c r="BA10" s="50"/>
      <c r="BB10" s="50"/>
      <c r="BC10" s="50"/>
      <c r="BD10" s="50"/>
      <c r="BE10" s="50"/>
      <c r="BF10" s="50"/>
      <c r="BG10" s="50"/>
      <c r="BH10" s="50"/>
      <c r="BI10" s="50"/>
      <c r="BJ10" s="50"/>
      <c r="BK10" s="50"/>
      <c r="BL10" s="50"/>
    </row>
    <row r="11" spans="1:64" s="45" customFormat="1" ht="30" customHeight="1" thickBot="1" x14ac:dyDescent="0.25">
      <c r="A11" s="12"/>
      <c r="B11" s="51" t="s">
        <v>35</v>
      </c>
      <c r="C11" s="52" t="s">
        <v>36</v>
      </c>
      <c r="D11" s="53">
        <v>1</v>
      </c>
      <c r="E11" s="54">
        <f>F10</f>
        <v>45801</v>
      </c>
      <c r="F11" s="54">
        <f>E11+7</f>
        <v>45808</v>
      </c>
      <c r="G11" s="16"/>
      <c r="H11" s="5">
        <f t="shared" si="5"/>
        <v>8</v>
      </c>
      <c r="I11" s="50"/>
      <c r="J11" s="50"/>
      <c r="K11" s="50"/>
      <c r="L11" s="50"/>
      <c r="M11" s="50"/>
      <c r="N11" s="50"/>
      <c r="O11" s="50"/>
      <c r="P11" s="50"/>
      <c r="Q11" s="50"/>
      <c r="R11" s="50"/>
      <c r="S11" s="50"/>
      <c r="T11" s="50"/>
      <c r="U11" s="50"/>
      <c r="V11" s="50"/>
      <c r="W11" s="50"/>
      <c r="X11" s="50"/>
      <c r="Y11" s="50"/>
      <c r="Z11" s="50"/>
      <c r="AA11" s="50"/>
      <c r="AB11" s="50"/>
      <c r="AC11" s="50"/>
      <c r="AD11" s="50"/>
      <c r="AE11" s="50"/>
      <c r="AF11" s="50"/>
      <c r="AG11" s="50"/>
      <c r="AH11" s="50"/>
      <c r="AI11" s="50"/>
      <c r="AJ11" s="50"/>
      <c r="AK11" s="50"/>
      <c r="AL11" s="50"/>
      <c r="AM11" s="50"/>
      <c r="AN11" s="50"/>
      <c r="AO11" s="50"/>
      <c r="AP11" s="50"/>
      <c r="AQ11" s="50"/>
      <c r="AR11" s="50"/>
      <c r="AS11" s="50"/>
      <c r="AT11" s="50"/>
      <c r="AU11" s="50"/>
      <c r="AV11" s="50"/>
      <c r="AW11" s="50"/>
      <c r="AX11" s="50"/>
      <c r="AY11" s="50"/>
      <c r="AZ11" s="50"/>
      <c r="BA11" s="50"/>
      <c r="BB11" s="50"/>
      <c r="BC11" s="50"/>
      <c r="BD11" s="50"/>
      <c r="BE11" s="50"/>
      <c r="BF11" s="50"/>
      <c r="BG11" s="50"/>
      <c r="BH11" s="50"/>
      <c r="BI11" s="50"/>
      <c r="BJ11" s="50"/>
      <c r="BK11" s="50"/>
      <c r="BL11" s="50"/>
    </row>
    <row r="12" spans="1:64" s="45" customFormat="1" ht="30" customHeight="1" thickBot="1" x14ac:dyDescent="0.25">
      <c r="A12" s="12"/>
      <c r="B12" s="51" t="s">
        <v>38</v>
      </c>
      <c r="C12" s="52" t="s">
        <v>37</v>
      </c>
      <c r="D12" s="53">
        <v>0.8</v>
      </c>
      <c r="E12" s="54">
        <f>F11</f>
        <v>45808</v>
      </c>
      <c r="F12" s="54">
        <f>E12+20</f>
        <v>45828</v>
      </c>
      <c r="G12" s="16"/>
      <c r="H12" s="5">
        <f t="shared" si="5"/>
        <v>21</v>
      </c>
      <c r="I12" s="50"/>
      <c r="J12" s="50"/>
      <c r="K12" s="50"/>
      <c r="L12" s="50"/>
      <c r="M12" s="50"/>
      <c r="N12" s="50"/>
      <c r="O12" s="50"/>
      <c r="P12" s="50"/>
      <c r="Q12" s="50"/>
      <c r="R12" s="50"/>
      <c r="S12" s="50"/>
      <c r="T12" s="50"/>
      <c r="U12" s="50"/>
      <c r="V12" s="50"/>
      <c r="W12" s="50"/>
      <c r="X12" s="50"/>
      <c r="Y12" s="55"/>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row>
    <row r="13" spans="1:64" s="45" customFormat="1" ht="30" customHeight="1" thickBot="1" x14ac:dyDescent="0.25">
      <c r="A13" s="12"/>
      <c r="B13" s="51" t="s">
        <v>23</v>
      </c>
      <c r="C13" s="52" t="s">
        <v>36</v>
      </c>
      <c r="D13" s="53">
        <v>1</v>
      </c>
      <c r="E13" s="54">
        <f>E10</f>
        <v>45794</v>
      </c>
      <c r="F13" s="54">
        <f>E13+28</f>
        <v>45822</v>
      </c>
      <c r="G13" s="16"/>
      <c r="H13" s="5">
        <f t="shared" si="5"/>
        <v>29</v>
      </c>
      <c r="I13" s="50"/>
      <c r="J13" s="50"/>
      <c r="K13" s="50"/>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c r="BA13" s="50"/>
      <c r="BB13" s="50"/>
      <c r="BC13" s="50"/>
      <c r="BD13" s="50"/>
      <c r="BE13" s="50"/>
      <c r="BF13" s="50"/>
      <c r="BG13" s="50"/>
      <c r="BH13" s="50"/>
      <c r="BI13" s="50"/>
      <c r="BJ13" s="50"/>
      <c r="BK13" s="50"/>
      <c r="BL13" s="50"/>
    </row>
    <row r="14" spans="1:64" s="45" customFormat="1" ht="30" customHeight="1" thickBot="1" x14ac:dyDescent="0.25">
      <c r="A14" s="13"/>
      <c r="B14" s="56" t="s">
        <v>22</v>
      </c>
      <c r="C14" s="57"/>
      <c r="D14" s="58"/>
      <c r="E14" s="59"/>
      <c r="F14" s="60"/>
      <c r="G14" s="16"/>
      <c r="H14" s="5" t="str">
        <f t="shared" si="5"/>
        <v/>
      </c>
    </row>
    <row r="15" spans="1:64" s="45" customFormat="1" ht="30" customHeight="1" thickBot="1" x14ac:dyDescent="0.25">
      <c r="A15" s="13"/>
      <c r="B15" s="61" t="s">
        <v>24</v>
      </c>
      <c r="C15" s="62" t="s">
        <v>34</v>
      </c>
      <c r="D15" s="63">
        <v>1</v>
      </c>
      <c r="E15" s="64">
        <f>DATE(2025,6,11)</f>
        <v>45819</v>
      </c>
      <c r="F15" s="64">
        <f>E15+2</f>
        <v>45821</v>
      </c>
      <c r="G15" s="16"/>
      <c r="H15" s="5">
        <f t="shared" si="5"/>
        <v>3</v>
      </c>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row>
    <row r="16" spans="1:64" s="45" customFormat="1" ht="30" customHeight="1" thickBot="1" x14ac:dyDescent="0.25">
      <c r="A16" s="12"/>
      <c r="B16" s="61" t="s">
        <v>39</v>
      </c>
      <c r="C16" s="62" t="s">
        <v>37</v>
      </c>
      <c r="D16" s="63">
        <v>1</v>
      </c>
      <c r="E16" s="64">
        <f>DATE(2025,6,14)</f>
        <v>45822</v>
      </c>
      <c r="F16" s="64">
        <f>E16+2</f>
        <v>45824</v>
      </c>
      <c r="G16" s="16"/>
      <c r="H16" s="5">
        <f t="shared" si="5"/>
        <v>3</v>
      </c>
      <c r="I16" s="50"/>
      <c r="J16" s="50"/>
      <c r="K16" s="50"/>
      <c r="L16" s="50"/>
      <c r="M16" s="50"/>
      <c r="N16" s="50"/>
      <c r="O16" s="50"/>
      <c r="P16" s="50"/>
      <c r="Q16" s="50"/>
      <c r="R16" s="50"/>
      <c r="S16" s="50"/>
      <c r="T16" s="50"/>
      <c r="U16" s="55"/>
      <c r="V16" s="55"/>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row>
    <row r="17" spans="1:64" s="45" customFormat="1" ht="30" customHeight="1" thickBot="1" x14ac:dyDescent="0.25">
      <c r="A17" s="12"/>
      <c r="B17" s="61" t="s">
        <v>40</v>
      </c>
      <c r="C17" s="62" t="s">
        <v>34</v>
      </c>
      <c r="D17" s="63">
        <v>1</v>
      </c>
      <c r="E17" s="64">
        <f>DATE(2025,6,17)</f>
        <v>45825</v>
      </c>
      <c r="F17" s="64">
        <f>E17</f>
        <v>45825</v>
      </c>
      <c r="G17" s="16"/>
      <c r="H17" s="5">
        <f t="shared" si="5"/>
        <v>1</v>
      </c>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row>
    <row r="18" spans="1:64" s="45" customFormat="1" ht="30" customHeight="1" thickBot="1" x14ac:dyDescent="0.25">
      <c r="A18" s="12"/>
      <c r="B18" s="61"/>
      <c r="C18" s="62" t="s">
        <v>19</v>
      </c>
      <c r="D18" s="63"/>
      <c r="E18" s="64">
        <f>E17</f>
        <v>45825</v>
      </c>
      <c r="F18" s="64">
        <f>E18+2</f>
        <v>45827</v>
      </c>
      <c r="G18" s="16"/>
      <c r="H18" s="5">
        <f t="shared" si="5"/>
        <v>3</v>
      </c>
      <c r="I18" s="50"/>
      <c r="J18" s="50"/>
      <c r="K18" s="50"/>
      <c r="L18" s="50"/>
      <c r="M18" s="50"/>
      <c r="N18" s="50"/>
      <c r="O18" s="50"/>
      <c r="P18" s="50"/>
      <c r="Q18" s="50"/>
      <c r="R18" s="50"/>
      <c r="S18" s="50"/>
      <c r="T18" s="50"/>
      <c r="U18" s="50"/>
      <c r="V18" s="50"/>
      <c r="W18" s="50"/>
      <c r="X18" s="50"/>
      <c r="Y18" s="55"/>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row>
    <row r="19" spans="1:64" s="45" customFormat="1" ht="30" customHeight="1" thickBot="1" x14ac:dyDescent="0.25">
      <c r="A19" s="12"/>
      <c r="B19" s="61"/>
      <c r="C19" s="62" t="s">
        <v>20</v>
      </c>
      <c r="D19" s="63"/>
      <c r="E19" s="64">
        <f>E18</f>
        <v>45825</v>
      </c>
      <c r="F19" s="64">
        <f>E19+3</f>
        <v>45828</v>
      </c>
      <c r="G19" s="16"/>
      <c r="H19" s="5">
        <f t="shared" si="5"/>
        <v>4</v>
      </c>
      <c r="I19" s="50"/>
      <c r="J19" s="50"/>
      <c r="K19" s="50"/>
      <c r="L19" s="50"/>
      <c r="M19" s="50"/>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50"/>
      <c r="AQ19" s="50"/>
      <c r="AR19" s="50"/>
      <c r="AS19" s="50"/>
      <c r="AT19" s="50"/>
      <c r="AU19" s="50"/>
      <c r="AV19" s="50"/>
      <c r="AW19" s="50"/>
      <c r="AX19" s="50"/>
      <c r="AY19" s="50"/>
      <c r="AZ19" s="50"/>
      <c r="BA19" s="50"/>
      <c r="BB19" s="50"/>
      <c r="BC19" s="50"/>
      <c r="BD19" s="50"/>
      <c r="BE19" s="50"/>
      <c r="BF19" s="50"/>
      <c r="BG19" s="50"/>
      <c r="BH19" s="50"/>
      <c r="BI19" s="50"/>
      <c r="BJ19" s="50"/>
      <c r="BK19" s="50"/>
      <c r="BL19" s="50"/>
    </row>
    <row r="20" spans="1:64" s="45" customFormat="1" ht="30" customHeight="1" thickBot="1" x14ac:dyDescent="0.25">
      <c r="A20" s="12"/>
      <c r="B20" s="65" t="s">
        <v>25</v>
      </c>
      <c r="C20" s="66"/>
      <c r="D20" s="67"/>
      <c r="E20" s="68"/>
      <c r="F20" s="69"/>
      <c r="G20" s="16"/>
      <c r="H20" s="5" t="str">
        <f t="shared" si="5"/>
        <v/>
      </c>
      <c r="I20" s="70"/>
      <c r="J20" s="70"/>
      <c r="K20" s="70"/>
      <c r="L20" s="70"/>
      <c r="M20" s="70"/>
      <c r="N20" s="70"/>
      <c r="O20" s="70"/>
      <c r="P20" s="70"/>
      <c r="Q20" s="70"/>
      <c r="R20" s="70"/>
      <c r="S20" s="70"/>
      <c r="T20" s="70"/>
      <c r="U20" s="70"/>
      <c r="V20" s="70"/>
      <c r="W20" s="70"/>
      <c r="X20" s="70"/>
      <c r="Y20" s="70"/>
      <c r="Z20" s="70"/>
      <c r="AA20" s="70"/>
      <c r="AB20" s="70"/>
      <c r="AC20" s="70"/>
      <c r="AD20" s="70"/>
      <c r="AE20" s="70"/>
      <c r="AF20" s="70"/>
      <c r="AG20" s="70"/>
      <c r="AH20" s="70"/>
      <c r="AI20" s="70"/>
      <c r="AJ20" s="70"/>
      <c r="AK20" s="70"/>
      <c r="AL20" s="70"/>
      <c r="AM20" s="70"/>
      <c r="AN20" s="70"/>
      <c r="AO20" s="70"/>
      <c r="AP20" s="70"/>
      <c r="AQ20" s="70"/>
      <c r="AR20" s="70"/>
      <c r="AS20" s="70"/>
      <c r="AT20" s="70"/>
      <c r="AU20" s="70"/>
      <c r="AV20" s="70"/>
      <c r="AW20" s="70"/>
      <c r="AX20" s="70"/>
      <c r="AY20" s="70"/>
      <c r="AZ20" s="70"/>
      <c r="BA20" s="70"/>
      <c r="BB20" s="70"/>
      <c r="BC20" s="70"/>
      <c r="BD20" s="70"/>
      <c r="BE20" s="70"/>
      <c r="BF20" s="70"/>
      <c r="BG20" s="70"/>
      <c r="BH20" s="70"/>
      <c r="BI20" s="70"/>
      <c r="BJ20" s="70"/>
      <c r="BK20" s="70"/>
      <c r="BL20" s="70"/>
    </row>
    <row r="21" spans="1:64" s="45" customFormat="1" ht="30" customHeight="1" thickBot="1" x14ac:dyDescent="0.25">
      <c r="A21" s="12"/>
      <c r="B21" s="71" t="s">
        <v>42</v>
      </c>
      <c r="C21" s="72" t="s">
        <v>41</v>
      </c>
      <c r="D21" s="73">
        <v>1</v>
      </c>
      <c r="E21" s="74">
        <f>DATE(2025,6,14)</f>
        <v>45822</v>
      </c>
      <c r="F21" s="74">
        <f>E21+13</f>
        <v>45835</v>
      </c>
      <c r="G21" s="16"/>
      <c r="H21" s="5">
        <f t="shared" si="5"/>
        <v>14</v>
      </c>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row>
    <row r="22" spans="1:64" s="45" customFormat="1" ht="30" customHeight="1" thickBot="1" x14ac:dyDescent="0.25">
      <c r="A22" s="12"/>
      <c r="B22" s="71" t="s">
        <v>43</v>
      </c>
      <c r="C22" s="72" t="s">
        <v>32</v>
      </c>
      <c r="D22" s="73">
        <v>1</v>
      </c>
      <c r="E22" s="74">
        <f>DATE(2025,6,15)</f>
        <v>45823</v>
      </c>
      <c r="F22" s="74">
        <f>E22+13</f>
        <v>45836</v>
      </c>
      <c r="G22" s="16"/>
      <c r="H22" s="5">
        <f t="shared" si="5"/>
        <v>14</v>
      </c>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row>
    <row r="23" spans="1:64" s="45" customFormat="1" ht="30" customHeight="1" thickBot="1" x14ac:dyDescent="0.25">
      <c r="A23" s="12"/>
      <c r="B23" s="71" t="s">
        <v>44</v>
      </c>
      <c r="C23" s="72" t="s">
        <v>46</v>
      </c>
      <c r="D23" s="73">
        <v>1</v>
      </c>
      <c r="E23" s="74">
        <f>E22+5</f>
        <v>45828</v>
      </c>
      <c r="F23" s="74">
        <f>E23+14</f>
        <v>45842</v>
      </c>
      <c r="G23" s="16"/>
      <c r="H23" s="5">
        <f t="shared" si="5"/>
        <v>15</v>
      </c>
      <c r="I23" s="50"/>
      <c r="J23" s="50"/>
      <c r="K23" s="50"/>
      <c r="L23" s="50"/>
      <c r="M23" s="50"/>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0"/>
      <c r="AP23" s="50"/>
      <c r="AQ23" s="50"/>
      <c r="AR23" s="50"/>
      <c r="AS23" s="50"/>
      <c r="AT23" s="50"/>
      <c r="AU23" s="50"/>
      <c r="AV23" s="50"/>
      <c r="AW23" s="50"/>
      <c r="AX23" s="50"/>
      <c r="AY23" s="50"/>
      <c r="AZ23" s="50"/>
      <c r="BA23" s="50"/>
      <c r="BB23" s="50"/>
      <c r="BC23" s="50"/>
      <c r="BD23" s="50"/>
      <c r="BE23" s="50"/>
      <c r="BF23" s="50"/>
      <c r="BG23" s="50"/>
      <c r="BH23" s="50"/>
      <c r="BI23" s="50"/>
      <c r="BJ23" s="50"/>
      <c r="BK23" s="50"/>
      <c r="BL23" s="50"/>
    </row>
    <row r="24" spans="1:64" s="45" customFormat="1" ht="30" customHeight="1" thickBot="1" x14ac:dyDescent="0.25">
      <c r="A24" s="12"/>
      <c r="B24" s="71" t="s">
        <v>45</v>
      </c>
      <c r="C24" s="72" t="s">
        <v>46</v>
      </c>
      <c r="D24" s="73">
        <v>1</v>
      </c>
      <c r="E24" s="74">
        <f>DATE(2025,6,12)</f>
        <v>45820</v>
      </c>
      <c r="F24" s="74">
        <f>DATE(2025,6,17)</f>
        <v>45825</v>
      </c>
      <c r="G24" s="16"/>
      <c r="H24" s="5">
        <f t="shared" si="5"/>
        <v>6</v>
      </c>
      <c r="I24" s="50"/>
      <c r="J24" s="50"/>
      <c r="K24" s="50"/>
      <c r="L24" s="50"/>
      <c r="M24" s="50"/>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0"/>
      <c r="AP24" s="50"/>
      <c r="AQ24" s="50"/>
      <c r="AR24" s="50"/>
      <c r="AS24" s="50"/>
      <c r="AT24" s="50"/>
      <c r="AU24" s="50"/>
      <c r="AV24" s="50"/>
      <c r="AW24" s="50"/>
      <c r="AX24" s="50"/>
      <c r="AY24" s="50"/>
      <c r="AZ24" s="50"/>
      <c r="BA24" s="50"/>
      <c r="BB24" s="50"/>
      <c r="BC24" s="50"/>
      <c r="BD24" s="50"/>
      <c r="BE24" s="50"/>
      <c r="BF24" s="50"/>
      <c r="BG24" s="50"/>
      <c r="BH24" s="50"/>
      <c r="BI24" s="50"/>
      <c r="BJ24" s="50"/>
      <c r="BK24" s="50"/>
      <c r="BL24" s="50"/>
    </row>
    <row r="25" spans="1:64" s="45" customFormat="1" ht="30" customHeight="1" thickBot="1" x14ac:dyDescent="0.25">
      <c r="A25" s="12"/>
      <c r="B25" s="71" t="s">
        <v>47</v>
      </c>
      <c r="C25" s="72" t="s">
        <v>34</v>
      </c>
      <c r="D25" s="73">
        <v>0.8</v>
      </c>
      <c r="E25" s="74">
        <f>DATE(2025,6,17)</f>
        <v>45825</v>
      </c>
      <c r="F25" s="74">
        <f>E25+15</f>
        <v>45840</v>
      </c>
      <c r="G25" s="16"/>
      <c r="H25" s="5">
        <f t="shared" si="5"/>
        <v>16</v>
      </c>
      <c r="I25" s="50"/>
      <c r="J25" s="50"/>
      <c r="K25" s="50"/>
      <c r="L25" s="50"/>
      <c r="M25" s="50"/>
      <c r="N25" s="50"/>
      <c r="O25" s="50"/>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0"/>
      <c r="AP25" s="50"/>
      <c r="AQ25" s="50"/>
      <c r="AR25" s="50"/>
      <c r="AS25" s="50"/>
      <c r="AT25" s="50"/>
      <c r="AU25" s="50"/>
      <c r="AV25" s="50"/>
      <c r="AW25" s="50"/>
      <c r="AX25" s="50"/>
      <c r="AY25" s="50"/>
      <c r="AZ25" s="50"/>
      <c r="BA25" s="50"/>
      <c r="BB25" s="50"/>
      <c r="BC25" s="50"/>
      <c r="BD25" s="50"/>
      <c r="BE25" s="50"/>
      <c r="BF25" s="50"/>
      <c r="BG25" s="50"/>
      <c r="BH25" s="50"/>
      <c r="BI25" s="50"/>
      <c r="BJ25" s="50"/>
      <c r="BK25" s="50"/>
      <c r="BL25" s="50"/>
    </row>
    <row r="26" spans="1:64" ht="30" customHeight="1" x14ac:dyDescent="0.2">
      <c r="G26" s="3"/>
    </row>
    <row r="27" spans="1:64" ht="30" customHeight="1" x14ac:dyDescent="0.25">
      <c r="C27" s="15"/>
      <c r="F27" s="14"/>
    </row>
    <row r="28" spans="1:64" ht="30" customHeight="1" x14ac:dyDescent="0.2">
      <c r="C28" s="4"/>
    </row>
  </sheetData>
  <mergeCells count="18">
    <mergeCell ref="BF4:BL4"/>
    <mergeCell ref="I4:O4"/>
    <mergeCell ref="P4:V4"/>
    <mergeCell ref="W4:AC4"/>
    <mergeCell ref="AD4:AJ4"/>
    <mergeCell ref="AK4:AQ4"/>
    <mergeCell ref="AR4:AX4"/>
    <mergeCell ref="AY4:BE4"/>
    <mergeCell ref="F5:F6"/>
    <mergeCell ref="Q2:Z2"/>
    <mergeCell ref="Q1:Z1"/>
    <mergeCell ref="I1:O1"/>
    <mergeCell ref="I2:O2"/>
    <mergeCell ref="A5:A6"/>
    <mergeCell ref="B5:B6"/>
    <mergeCell ref="C5:C6"/>
    <mergeCell ref="D5:D6"/>
    <mergeCell ref="E5:E6"/>
  </mergeCells>
  <conditionalFormatting sqref="D7:D25">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25">
    <cfRule type="expression" dxfId="6" priority="1">
      <formula>AND(TODAY()&gt;=I$5, TODAY()&lt;J$5)</formula>
    </cfRule>
  </conditionalFormatting>
  <conditionalFormatting sqref="I9:BL13">
    <cfRule type="expression" dxfId="5" priority="6">
      <formula>AND(task_start&lt;=I$5,ROUNDDOWN((task_end-task_start+1)*task_progress,0)+task_start-1&gt;=I$5)</formula>
    </cfRule>
    <cfRule type="expression" dxfId="4" priority="7" stopIfTrue="1">
      <formula>AND(task_end&gt;=I$5,task_start&lt;J$5)</formula>
    </cfRule>
  </conditionalFormatting>
  <conditionalFormatting sqref="I15:BL19">
    <cfRule type="expression" dxfId="3" priority="4">
      <formula>AND(task_start&lt;=I$5,ROUNDDOWN((task_end-task_start+1)*task_progress,0)+task_start-1&gt;=I$5)</formula>
    </cfRule>
    <cfRule type="expression" dxfId="2" priority="5" stopIfTrue="1">
      <formula>AND(task_end&gt;=I$5,task_start&lt;J$5)</formula>
    </cfRule>
  </conditionalFormatting>
  <conditionalFormatting sqref="I21:BL25">
    <cfRule type="expression" dxfId="1" priority="2">
      <formula>AND(task_start&lt;=I$5,ROUNDDOWN((task_end-task_start+1)*task_progress,0)+task_start-1&gt;=I$5)</formula>
    </cfRule>
    <cfRule type="expression" dxfId="0" priority="3" stopIfTrue="1">
      <formula>AND(task_end&gt;=I$5,task_start&lt;J$5)</formula>
    </cfRule>
  </conditionalFormatting>
  <dataValidations count="11">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0" xr:uid="{956902D1-D3B5-416D-BB69-9362D193BC0A}"/>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F18 E23"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D7:D25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75" x14ac:dyDescent="0.2"/>
  <cols>
    <col min="1" max="1" width="87" style="6" customWidth="1"/>
    <col min="2" max="16384" width="9" style="1"/>
  </cols>
  <sheetData>
    <row r="1" spans="1:2" ht="46.5" customHeight="1" x14ac:dyDescent="0.2"/>
    <row r="2" spans="1:2" s="8" customFormat="1" ht="15.75" x14ac:dyDescent="0.2">
      <c r="A2" s="78" t="s">
        <v>7</v>
      </c>
      <c r="B2" s="7"/>
    </row>
    <row r="3" spans="1:2" s="10" customFormat="1" ht="27" customHeight="1" x14ac:dyDescent="0.2">
      <c r="A3" s="79"/>
      <c r="B3" s="11"/>
    </row>
    <row r="4" spans="1:2" s="9" customFormat="1" ht="31.5" x14ac:dyDescent="0.6">
      <c r="A4" s="80" t="s">
        <v>6</v>
      </c>
    </row>
    <row r="5" spans="1:2" ht="74.25" customHeight="1" x14ac:dyDescent="0.2">
      <c r="A5" s="81" t="s">
        <v>14</v>
      </c>
    </row>
    <row r="6" spans="1:2" ht="26.25" customHeight="1" x14ac:dyDescent="0.2">
      <c r="A6" s="80" t="s">
        <v>17</v>
      </c>
    </row>
    <row r="7" spans="1:2" s="6" customFormat="1" ht="205.15" customHeight="1" x14ac:dyDescent="0.2">
      <c r="A7" s="82" t="s">
        <v>16</v>
      </c>
    </row>
    <row r="8" spans="1:2" s="9" customFormat="1" ht="31.5" x14ac:dyDescent="0.6">
      <c r="A8" s="80" t="s">
        <v>8</v>
      </c>
    </row>
    <row r="9" spans="1:2" ht="57" x14ac:dyDescent="0.2">
      <c r="A9" s="81" t="s">
        <v>15</v>
      </c>
    </row>
    <row r="10" spans="1:2" s="6" customFormat="1" ht="28.15" customHeight="1" x14ac:dyDescent="0.2">
      <c r="A10" s="83" t="s">
        <v>13</v>
      </c>
    </row>
    <row r="11" spans="1:2" s="9" customFormat="1" ht="31.5" x14ac:dyDescent="0.6">
      <c r="A11" s="80" t="s">
        <v>5</v>
      </c>
    </row>
    <row r="12" spans="1:2" ht="28.5" x14ac:dyDescent="0.2">
      <c r="A12" s="81" t="s">
        <v>12</v>
      </c>
    </row>
    <row r="13" spans="1:2" s="6" customFormat="1" ht="28.15" customHeight="1" x14ac:dyDescent="0.2">
      <c r="A13" s="83" t="s">
        <v>1</v>
      </c>
    </row>
    <row r="14" spans="1:2" s="9" customFormat="1" ht="31.5" x14ac:dyDescent="0.6">
      <c r="A14" s="80" t="s">
        <v>9</v>
      </c>
    </row>
    <row r="15" spans="1:2" ht="75" customHeight="1" x14ac:dyDescent="0.2">
      <c r="A15" s="81" t="s">
        <v>10</v>
      </c>
    </row>
    <row r="16" spans="1:2" ht="71.25" x14ac:dyDescent="0.2">
      <c r="A16" s="81" t="s">
        <v>11</v>
      </c>
    </row>
    <row r="17" spans="1:1" x14ac:dyDescent="0.2">
      <c r="A17" s="84"/>
    </row>
    <row r="18" spans="1:1" x14ac:dyDescent="0.2">
      <c r="A18" s="84"/>
    </row>
    <row r="19" spans="1:1" x14ac:dyDescent="0.2">
      <c r="A19" s="84"/>
    </row>
    <row r="20" spans="1:1" x14ac:dyDescent="0.2">
      <c r="A20" s="84"/>
    </row>
    <row r="21" spans="1:1" x14ac:dyDescent="0.2">
      <c r="A21" s="84"/>
    </row>
    <row r="22" spans="1:1" x14ac:dyDescent="0.2">
      <c r="A22" s="84"/>
    </row>
    <row r="23" spans="1:1" x14ac:dyDescent="0.2">
      <c r="A23" s="84"/>
    </row>
    <row r="24" spans="1:1" x14ac:dyDescent="0.2">
      <c r="A24" s="84"/>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description/>
  <cp:lastModifiedBy>JAYARATNE A H V M</cp:lastModifiedBy>
  <dcterms:created xsi:type="dcterms:W3CDTF">2022-03-11T22:41:12Z</dcterms:created>
  <dcterms:modified xsi:type="dcterms:W3CDTF">2025-07-04T19:49:15Z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